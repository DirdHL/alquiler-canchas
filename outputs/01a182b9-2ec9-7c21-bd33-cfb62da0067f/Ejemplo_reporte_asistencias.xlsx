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Resumen" state="visible" r:id="rId4"/>
    <sheet sheetId="2" name="Detalle" state="visible" r:id="rId5"/>
  </sheets>
  <definedNames>
    <definedName name="_xlnm.Print_Area" localSheetId="0">'Resumen'!$A1:$K19</definedName>
    <definedName name="_xlnm.Print_Titles" localSheetId="0">'Resumen'!$12:$12</definedName>
    <definedName name="_xlnm.Print_Area" localSheetId="1">'Detalle'!$A1:$J54</definedName>
    <definedName name="_xlnm.Print_Titles" localSheetId="1">'Detalle'!$8:$8</definedName>
  </definedNames>
  <calcPr calcId="171027" fullCalcOnLoad="1"/>
</workbook>
</file>

<file path=xl/sharedStrings.xml><?xml version="1.0" encoding="utf-8"?>
<sst xmlns="http://schemas.openxmlformats.org/spreadsheetml/2006/main" count="178" uniqueCount="46">
  <si>
    <t>NUEVO HORIZONTE · RESUMEN DE ASISTENCIAS</t>
  </si>
  <si>
    <t>Octubre de 2026. Emitido: 28/10/2026, 18:45</t>
  </si>
  <si>
    <t>Personal: Todos. Todos los días. Todos los movimientos.</t>
  </si>
  <si>
    <t>El saldo mensual considera todos los registros del mes. Los demás indicadores corresponden a los filtros elegidos. 1 turno(s) en curso.</t>
  </si>
  <si>
    <t>Vista de ejemplo con datos ficticios</t>
  </si>
  <si>
    <t>Presenciales (h)</t>
  </si>
  <si>
    <t>Tardanza acumulada (min)</t>
  </si>
  <si>
    <t>Faltas registradas (días)</t>
  </si>
  <si>
    <t>Extras (h)</t>
  </si>
  <si>
    <t>Colaborador</t>
  </si>
  <si>
    <t>Tardanzas (veces)</t>
  </si>
  <si>
    <t>Tardanza (min)</t>
  </si>
  <si>
    <t>Faltas (días)</t>
  </si>
  <si>
    <t>Ausencias (h)</t>
  </si>
  <si>
    <t>Permisos y feriados (h)</t>
  </si>
  <si>
    <t>Recuperadas (h)</t>
  </si>
  <si>
    <t>Ajustes de deuda (h)</t>
  </si>
  <si>
    <t>Saldo mensual (h)</t>
  </si>
  <si>
    <t>Angélica Ramírez</t>
  </si>
  <si>
    <t>Anita Flores</t>
  </si>
  <si>
    <t>Marimar Vargas</t>
  </si>
  <si>
    <t>Rogger Sánchez</t>
  </si>
  <si>
    <t>Valeria Gutiérrez</t>
  </si>
  <si>
    <t>Ximena del Carmen Villanueva</t>
  </si>
  <si>
    <t>TOTAL</t>
  </si>
  <si>
    <t>NUEVO HORIZONTE · DETALLE DE ASISTENCIAS</t>
  </si>
  <si>
    <t>Horas abonadas incluyen permisos y feriados. Los turnos en curso tienen horas pendientes. Las tardanzas y faltas conservan su historial aunque se justifiquen o recuperen.</t>
  </si>
  <si>
    <t>N.º</t>
  </si>
  <si>
    <t>Fecha</t>
  </si>
  <si>
    <t>Entrada</t>
  </si>
  <si>
    <t>Salida</t>
  </si>
  <si>
    <t>Horas abonadas (h)</t>
  </si>
  <si>
    <t>Tipo de registro</t>
  </si>
  <si>
    <t>Observaciones</t>
  </si>
  <si>
    <t>Trabajo</t>
  </si>
  <si>
    <t>[Con refrigerio: -1h]. Entrada y salida del horario programado. Refrigerio descontado de una hora.</t>
  </si>
  <si>
    <t>[Con refrigerio: -1h]. Marcación regularizada por olvido. Se confirmó asistencia con el responsable de oficina y se conserva la observación para revisión del cierre mensual.</t>
  </si>
  <si>
    <t>Inasistencia (Falta)</t>
  </si>
  <si>
    <t>Ausencia registrada en el horario oficial. Ausencia: 9.00 h. Sin justificar.</t>
  </si>
  <si>
    <t>Permiso</t>
  </si>
  <si>
    <t>Permiso parcial de cuatro horas por asunto personal.</t>
  </si>
  <si>
    <t>[Sin refrigerio: jornada corrida]. Jornada corrida sin descuento de refrigerio.</t>
  </si>
  <si>
    <t>Ajuste</t>
  </si>
  <si>
    <t>Recuperación autorizada por el responsable. Ajuste de deuda: 1.00 h.</t>
  </si>
  <si>
    <t>Trabajo en curso</t>
  </si>
  <si>
    <t>[Sin refrigerio: jornada corrida]. [Turno extra fuera de horario].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</si>
</sst>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;[Red](#,##0.00);&quot;—&quot;"/>
    <numFmt numFmtId="165" formatCode="#,##0;[Red](#,##0);&quot;—&quot;"/>
    <numFmt numFmtId="166" formatCode="dd/mm/yyyy"/>
    <numFmt numFmtId="167" formatCode="hh:mm AM/PM"/>
  </numFmts>
  <fonts count="10" x14ac:knownFonts="1">
    <font>
      <color theme="1"/>
      <family val="2"/>
      <scheme val="minor"/>
      <sz val="11"/>
      <name val="Calibri"/>
    </font>
    <font>
      <b/>
      <color rgb="FF263343"/>
      <sz val="16"/>
      <name val="Arial"/>
    </font>
    <font>
      <color rgb="FF64748B"/>
      <sz val="10"/>
      <name val="Arial"/>
    </font>
    <font>
      <i/>
      <color rgb="FF64748B"/>
      <sz val="10"/>
      <name val="Arial"/>
    </font>
    <font>
      <color rgb="FF9D174D"/>
      <sz val="10"/>
      <name val="Arial"/>
    </font>
    <font>
      <b/>
      <color rgb="FF9D174D"/>
      <sz val="16"/>
      <name val="Arial"/>
    </font>
    <font>
      <b/>
      <color rgb="FFFFFFFF"/>
      <sz val="10"/>
      <name val="Arial"/>
    </font>
    <font>
      <color rgb="FF263343"/>
      <sz val="10"/>
      <name val="Arial"/>
    </font>
    <font>
      <b/>
      <color rgb="FF9D174D"/>
      <sz val="10"/>
      <name val="Arial"/>
    </font>
    <font>
      <b/>
      <color rgb="FF9A6700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DF2F8"/>
      </patternFill>
    </fill>
    <fill>
      <patternFill patternType="solid">
        <fgColor rgb="FF263343"/>
      </patternFill>
    </fill>
    <fill>
      <patternFill patternType="solid">
        <fgColor rgb="FFF7F8FA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9D174D"/>
      </bottom>
      <diagonal/>
    </border>
    <border>
      <left/>
      <right style="thin">
        <color rgb="FFFFFFFF"/>
      </right>
      <top/>
      <bottom/>
      <diagonal/>
    </border>
    <border>
      <left/>
      <right/>
      <top style="thin">
        <color rgb="FF9D174D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4" fillId="2" borderId="0" xfId="0" applyFont="1" applyFill="1"/>
    <xf numFmtId="165" fontId="4" fillId="2" borderId="0" xfId="0" applyNumberFormat="1" applyFont="1" applyFill="1"/>
    <xf numFmtId="164" fontId="4" fillId="2" borderId="0" xfId="0" applyNumberFormat="1" applyFont="1" applyFill="1"/>
    <xf numFmtId="164" fontId="5" fillId="2" borderId="0" xfId="0" applyNumberFormat="1" applyFont="1" applyFill="1" applyAlignment="1">
      <alignment horizontal="left" vertical="center"/>
    </xf>
    <xf numFmtId="165" fontId="5" fillId="2" borderId="0" xfId="0" applyNumberFormat="1" applyFont="1" applyFill="1" applyAlignment="1">
      <alignment horizontal="left" vertical="center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65" fontId="6" fillId="3" borderId="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7" fillId="4" borderId="0" xfId="0" applyFont="1" applyFill="1" applyAlignment="1">
      <alignment horizontal="left" vertical="center" wrapText="1"/>
    </xf>
    <xf numFmtId="164" fontId="7" fillId="4" borderId="0" xfId="0" applyNumberFormat="1" applyFont="1" applyFill="1" applyAlignment="1">
      <alignment horizontal="right" vertical="center"/>
    </xf>
    <xf numFmtId="165" fontId="7" fillId="4" borderId="0" xfId="0" applyNumberFormat="1" applyFont="1" applyFill="1" applyAlignment="1">
      <alignment horizontal="right" vertical="center"/>
    </xf>
    <xf numFmtId="0" fontId="8" fillId="2" borderId="3" xfId="0" applyFont="1" applyFill="1" applyBorder="1" applyAlignment="1">
      <alignment horizontal="left" vertical="center"/>
    </xf>
    <xf numFmtId="164" fontId="8" fillId="2" borderId="3" xfId="0" applyNumberFormat="1" applyFont="1" applyFill="1" applyBorder="1" applyAlignment="1">
      <alignment horizontal="right" vertical="center"/>
    </xf>
    <xf numFmtId="165" fontId="8" fillId="2" borderId="3" xfId="0" applyNumberFormat="1" applyFont="1" applyFill="1" applyBorder="1" applyAlignment="1">
      <alignment horizontal="right" vertical="center"/>
    </xf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1" fillId="0" borderId="1" xfId="0" applyNumberFormat="1" applyFont="1" applyBorder="1"/>
    <xf numFmtId="1" fontId="2" fillId="0" borderId="0" xfId="0" applyNumberFormat="1" applyFont="1"/>
    <xf numFmtId="1" fontId="2" fillId="0" borderId="0" xfId="0" applyNumberFormat="1" applyFont="1" applyAlignment="1">
      <alignment vertical="center" wrapText="1"/>
    </xf>
    <xf numFmtId="1" fontId="3" fillId="0" borderId="0" xfId="0" applyNumberFormat="1" applyFont="1" applyAlignment="1">
      <alignment horizontal="left" vertical="center"/>
    </xf>
    <xf numFmtId="1" fontId="6" fillId="3" borderId="2" xfId="0" applyNumberFormat="1" applyFont="1" applyFill="1" applyBorder="1" applyAlignment="1">
      <alignment horizontal="center" vertical="center" wrapText="1"/>
    </xf>
    <xf numFmtId="166" fontId="6" fillId="3" borderId="2" xfId="0" applyNumberFormat="1" applyFont="1" applyFill="1" applyBorder="1" applyAlignment="1">
      <alignment horizontal="center" vertical="center" wrapText="1"/>
    </xf>
    <xf numFmtId="167" fontId="6" fillId="3" borderId="2" xfId="0" applyNumberFormat="1" applyFont="1" applyFill="1" applyBorder="1" applyAlignment="1">
      <alignment horizontal="center" vertical="center" wrapText="1"/>
    </xf>
    <xf numFmtId="1" fontId="7" fillId="0" borderId="0" xfId="0" applyNumberFormat="1" applyFont="1" applyAlignment="1">
      <alignment horizontal="right" vertical="center"/>
    </xf>
    <xf numFmtId="166" fontId="7" fillId="0" borderId="0" xfId="0" applyNumberFormat="1" applyFont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1" fontId="7" fillId="4" borderId="0" xfId="0" applyNumberFormat="1" applyFont="1" applyFill="1" applyAlignment="1">
      <alignment horizontal="right" vertical="center"/>
    </xf>
    <xf numFmtId="166" fontId="7" fillId="4" borderId="0" xfId="0" applyNumberFormat="1" applyFont="1" applyFill="1" applyAlignment="1">
      <alignment horizontal="center" vertical="center"/>
    </xf>
    <xf numFmtId="167" fontId="7" fillId="4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left" vertical="top" wrapText="1"/>
    </xf>
    <xf numFmtId="0" fontId="9" fillId="4" borderId="0" xfId="0" applyFont="1" applyFill="1" applyAlignment="1">
      <alignment horizontal="left" vertical="center" wrapText="1"/>
    </xf>
    <xf numFmtId="1" fontId="8" fillId="2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B42318"/>
      </font>
    </dxf>
    <dxf>
      <font>
        <b/>
        <color rgb="FFB42318"/>
      </font>
    </dxf>
    <dxf>
      <font>
        <b/>
        <color rgb="FFB42318"/>
      </font>
    </dxf>
    <dxf>
      <font>
        <b/>
        <color rgb="FFB42318"/>
      </font>
    </dxf>
    <dxf>
      <font>
        <b/>
        <color rgb="FF087F5B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D174D"/>
    <pageSetUpPr fitToPage="1"/>
  </sheetPr>
  <dimension ref="A2:K19"/>
  <sheetViews>
    <sheetView workbookViewId="0" showGridLines="0" zoomScale="90">
      <pane xSplit="1" ySplit="12" topLeftCell="B13" activePane="bottomRight" state="frozen"/>
      <selection pane="bottomRight"/>
    </sheetView>
  </sheetViews>
  <sheetFormatPr defaultRowHeight="21" outlineLevelRow="0" outlineLevelCol="0" x14ac:dyDescent="55" customHeight="1"/>
  <cols>
    <col min="1" max="1" width="23" customWidth="1"/>
    <col min="2" max="2" width="12" style="1" customWidth="1"/>
    <col min="3" max="4" width="11" style="2" customWidth="1"/>
    <col min="5" max="5" width="10" style="2" customWidth="1"/>
    <col min="6" max="6" width="11" style="1" customWidth="1"/>
    <col min="7" max="7" width="13" style="1" customWidth="1"/>
    <col min="8" max="10" width="12" style="1" customWidth="1"/>
    <col min="11" max="11" width="11" style="1" customWidth="1"/>
  </cols>
  <sheetData>
    <row r="2" ht="31" customHeight="1" spans="1:11" x14ac:dyDescent="0.2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21" customHeight="1" spans="1:11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ht="21" customHeight="1" spans="1:11" x14ac:dyDescent="0.25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ht="32" customHeight="1" spans="1:11" x14ac:dyDescent="0.2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ht="18" customHeight="1" spans="1:11" x14ac:dyDescent="0.25">
      <c r="A6" s="6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x14ac:dyDescent="0.25">
      <c r="A7" s="7" t="s">
        <v>5</v>
      </c>
      <c r="B7" s="7"/>
      <c r="C7" s="7"/>
      <c r="D7" s="8" t="s">
        <v>6</v>
      </c>
      <c r="E7" s="8"/>
      <c r="F7" s="8"/>
      <c r="G7" s="9" t="s">
        <v>7</v>
      </c>
      <c r="H7" s="9"/>
      <c r="I7" s="9" t="s">
        <v>8</v>
      </c>
      <c r="J7" s="9"/>
      <c r="K7" s="9"/>
    </row>
    <row r="8" spans="1:11" x14ac:dyDescent="0.25">
      <c r="A8" s="10">
        <f>SUM(B13:B18)</f>
        <v>369.7166666666667</v>
      </c>
      <c r="B8" s="10"/>
      <c r="C8" s="10"/>
      <c r="D8" s="11">
        <f>SUM(D13:D18)</f>
        <v>17</v>
      </c>
      <c r="E8" s="11"/>
      <c r="F8" s="11"/>
      <c r="G8" s="11">
        <f>SUM(E13:E18)</f>
        <v>1</v>
      </c>
      <c r="H8" s="11"/>
      <c r="I8" s="10">
        <f>SUM(K13:K18)</f>
        <v>1</v>
      </c>
      <c r="J8" s="10"/>
      <c r="K8" s="10"/>
    </row>
    <row r="9" spans="1:11" x14ac:dyDescent="0.25">
      <c r="A9" s="10"/>
      <c r="B9" s="10"/>
      <c r="C9" s="10"/>
      <c r="D9" s="11"/>
      <c r="E9" s="11"/>
      <c r="F9" s="11"/>
      <c r="G9" s="11"/>
      <c r="H9" s="11"/>
      <c r="I9" s="10"/>
      <c r="J9" s="10"/>
      <c r="K9" s="10"/>
    </row>
    <row r="12" ht="32" customHeight="1" spans="1:11" x14ac:dyDescent="0.25">
      <c r="A12" s="12" t="s">
        <v>9</v>
      </c>
      <c r="B12" s="13" t="s">
        <v>5</v>
      </c>
      <c r="C12" s="14" t="s">
        <v>10</v>
      </c>
      <c r="D12" s="14" t="s">
        <v>11</v>
      </c>
      <c r="E12" s="14" t="s">
        <v>12</v>
      </c>
      <c r="F12" s="13" t="s">
        <v>13</v>
      </c>
      <c r="G12" s="13" t="s">
        <v>14</v>
      </c>
      <c r="H12" s="13" t="s">
        <v>15</v>
      </c>
      <c r="I12" s="13" t="s">
        <v>16</v>
      </c>
      <c r="J12" s="13" t="s">
        <v>17</v>
      </c>
      <c r="K12" s="13" t="s">
        <v>8</v>
      </c>
    </row>
    <row r="13" ht="24" customHeight="1" spans="1:11" x14ac:dyDescent="0.25">
      <c r="A13" s="15" t="s">
        <v>18</v>
      </c>
      <c r="B13" s="16">
        <v>64</v>
      </c>
      <c r="C13" s="17">
        <v>0</v>
      </c>
      <c r="D13" s="17">
        <v>0</v>
      </c>
      <c r="E13" s="17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1</v>
      </c>
    </row>
    <row r="14" ht="24" customHeight="1" spans="1:11" x14ac:dyDescent="0.25">
      <c r="A14" s="18" t="s">
        <v>19</v>
      </c>
      <c r="B14" s="19">
        <v>62.71666666666667</v>
      </c>
      <c r="C14" s="20">
        <v>1</v>
      </c>
      <c r="D14" s="20">
        <v>17</v>
      </c>
      <c r="E14" s="20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0.2833333333333333</v>
      </c>
      <c r="K14" s="19">
        <v>0</v>
      </c>
    </row>
    <row r="15" ht="24" customHeight="1" spans="1:11" x14ac:dyDescent="0.25">
      <c r="A15" s="15" t="s">
        <v>20</v>
      </c>
      <c r="B15" s="16">
        <v>63</v>
      </c>
      <c r="C15" s="17">
        <v>0</v>
      </c>
      <c r="D15" s="17">
        <v>0</v>
      </c>
      <c r="E15" s="17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</row>
    <row r="16" ht="24" customHeight="1" spans="1:11" x14ac:dyDescent="0.25">
      <c r="A16" s="18" t="s">
        <v>21</v>
      </c>
      <c r="B16" s="19">
        <v>63</v>
      </c>
      <c r="C16" s="20">
        <v>0</v>
      </c>
      <c r="D16" s="20">
        <v>0</v>
      </c>
      <c r="E16" s="20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</row>
    <row r="17" ht="24" customHeight="1" spans="1:11" x14ac:dyDescent="0.25">
      <c r="A17" s="15" t="s">
        <v>22</v>
      </c>
      <c r="B17" s="16">
        <v>54</v>
      </c>
      <c r="C17" s="17">
        <v>0</v>
      </c>
      <c r="D17" s="17">
        <v>0</v>
      </c>
      <c r="E17" s="17">
        <v>1</v>
      </c>
      <c r="F17" s="16">
        <v>9</v>
      </c>
      <c r="G17" s="16">
        <v>4</v>
      </c>
      <c r="H17" s="16">
        <v>0</v>
      </c>
      <c r="I17" s="16">
        <v>1</v>
      </c>
      <c r="J17" s="16">
        <v>4</v>
      </c>
      <c r="K17" s="16">
        <v>0</v>
      </c>
    </row>
    <row r="18" ht="32" customHeight="1" spans="1:11" x14ac:dyDescent="0.25">
      <c r="A18" s="18" t="s">
        <v>23</v>
      </c>
      <c r="B18" s="19">
        <v>63</v>
      </c>
      <c r="C18" s="20">
        <v>0</v>
      </c>
      <c r="D18" s="20">
        <v>0</v>
      </c>
      <c r="E18" s="20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</row>
    <row r="19" ht="27" customHeight="1" spans="1:11" x14ac:dyDescent="0.25">
      <c r="A19" s="21" t="s">
        <v>24</v>
      </c>
      <c r="B19" s="22">
        <f>SUBTOTAL(109,B13:B18)</f>
        <v>369.7166666666667</v>
      </c>
      <c r="C19" s="23">
        <f>SUBTOTAL(109,C13:C18)</f>
        <v>1</v>
      </c>
      <c r="D19" s="23">
        <f>SUBTOTAL(109,D13:D18)</f>
        <v>17</v>
      </c>
      <c r="E19" s="23">
        <f>SUBTOTAL(109,E13:E18)</f>
        <v>1</v>
      </c>
      <c r="F19" s="22">
        <f>SUBTOTAL(109,F13:F18)</f>
        <v>9</v>
      </c>
      <c r="G19" s="22">
        <f>SUBTOTAL(109,G13:G18)</f>
        <v>4</v>
      </c>
      <c r="H19" s="22">
        <f>SUBTOTAL(109,H13:H18)</f>
        <v>0</v>
      </c>
      <c r="I19" s="22">
        <f>SUBTOTAL(109,I13:I18)</f>
        <v>1</v>
      </c>
      <c r="J19" s="22">
        <f>SUBTOTAL(109,J13:J18)</f>
        <v>4.283333333333333</v>
      </c>
      <c r="K19" s="22">
        <f>SUBTOTAL(109,K13:K18)</f>
        <v>1</v>
      </c>
    </row>
  </sheetData>
  <autoFilter ref="A12:K18"/>
  <mergeCells count="13">
    <mergeCell ref="A2:K2"/>
    <mergeCell ref="A3:K3"/>
    <mergeCell ref="A4:K4"/>
    <mergeCell ref="A5:K5"/>
    <mergeCell ref="A6:K6"/>
    <mergeCell ref="A7:C7"/>
    <mergeCell ref="D7:F7"/>
    <mergeCell ref="G7:H7"/>
    <mergeCell ref="I7:K7"/>
    <mergeCell ref="A8:C9"/>
    <mergeCell ref="D8:F9"/>
    <mergeCell ref="G8:H9"/>
    <mergeCell ref="I8:K9"/>
  </mergeCells>
  <conditionalFormatting sqref="D13:D18">
    <cfRule type="cellIs" dxfId="0" priority="1" operator="greaterThan">
      <formula>0</formula>
    </cfRule>
  </conditionalFormatting>
  <conditionalFormatting sqref="F13:F18">
    <cfRule type="cellIs" dxfId="1" priority="2" operator="greaterThan">
      <formula>0</formula>
    </cfRule>
  </conditionalFormatting>
  <conditionalFormatting sqref="J13:J18">
    <cfRule type="cellIs" dxfId="2" priority="3" operator="greaterThan">
      <formula>0</formula>
    </cfRule>
  </conditionalFormatting>
  <printOptions horizontalCentered="1"/>
  <pageMargins left="0.25" right="0.25" top="0.45" bottom="0.45" header="0.2" footer="0.2"/>
  <pageSetup paperSize="9" orientation="landscape" fitToWidth="1" fitToHeight="0"/>
  <headerFooter>
    <oddHeader>&amp;L&amp;"Arial,Bold"&amp;9Nuevo Horizonte&amp;C&amp;"Arial,Regular"&amp;9Control de asistencias</oddHeader>
    <oddFooter>&amp;L&amp;"Arial,Regular"&amp;8octubre de 2026&amp;CResumen&amp;RPágina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  <pageSetUpPr fitToPage="1"/>
  </sheetPr>
  <dimension ref="A2:J54"/>
  <sheetViews>
    <sheetView workbookViewId="0" showGridLines="0" zoomScale="90">
      <pane xSplit="3" ySplit="8" topLeftCell="D9" activePane="bottomRight" state="frozen"/>
      <selection pane="bottomRight"/>
    </sheetView>
  </sheetViews>
  <sheetFormatPr defaultRowHeight="21" outlineLevelRow="0" outlineLevelCol="0" x14ac:dyDescent="55" customHeight="1"/>
  <cols>
    <col min="1" max="1" width="5" style="24" customWidth="1"/>
    <col min="2" max="2" width="12" style="25" customWidth="1"/>
    <col min="3" max="3" width="21" customWidth="1"/>
    <col min="4" max="5" width="10" style="26" customWidth="1"/>
    <col min="6" max="6" width="12" style="1" customWidth="1"/>
    <col min="7" max="7" width="11" style="2" customWidth="1"/>
    <col min="8" max="8" width="11" style="1" customWidth="1"/>
    <col min="9" max="9" width="22" customWidth="1"/>
    <col min="10" max="10" width="45" customWidth="1"/>
  </cols>
  <sheetData>
    <row r="2" ht="31" customHeight="1" spans="1:10" x14ac:dyDescent="0.25">
      <c r="A2" s="27" t="s">
        <v>25</v>
      </c>
      <c r="B2" s="27"/>
      <c r="C2" s="27"/>
      <c r="D2" s="27"/>
      <c r="E2" s="27"/>
      <c r="F2" s="27"/>
      <c r="G2" s="27"/>
      <c r="H2" s="27"/>
      <c r="I2" s="27"/>
      <c r="J2" s="27"/>
    </row>
    <row r="3" ht="21" customHeight="1" spans="1:10" x14ac:dyDescent="0.25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</row>
    <row r="4" ht="21" customHeight="1" spans="1:10" x14ac:dyDescent="0.25">
      <c r="A4" s="28" t="s">
        <v>2</v>
      </c>
      <c r="B4" s="28"/>
      <c r="C4" s="28"/>
      <c r="D4" s="28"/>
      <c r="E4" s="28"/>
      <c r="F4" s="28"/>
      <c r="G4" s="28"/>
      <c r="H4" s="28"/>
      <c r="I4" s="28"/>
      <c r="J4" s="28"/>
    </row>
    <row r="5" ht="31" customHeight="1" spans="1:10" x14ac:dyDescent="0.25">
      <c r="A5" s="29" t="s">
        <v>26</v>
      </c>
      <c r="B5" s="29"/>
      <c r="C5" s="29"/>
      <c r="D5" s="29"/>
      <c r="E5" s="29"/>
      <c r="F5" s="29"/>
      <c r="G5" s="29"/>
      <c r="H5" s="29"/>
      <c r="I5" s="29"/>
      <c r="J5" s="29"/>
    </row>
    <row r="6" ht="18" customHeight="1" spans="1:10" x14ac:dyDescent="0.25">
      <c r="A6" s="30" t="s">
        <v>4</v>
      </c>
      <c r="B6" s="30"/>
      <c r="C6" s="30"/>
      <c r="D6" s="30"/>
      <c r="E6" s="30"/>
      <c r="F6" s="30"/>
      <c r="G6" s="30"/>
      <c r="H6" s="30"/>
      <c r="I6" s="30"/>
      <c r="J6" s="30"/>
    </row>
    <row r="8" ht="32" customHeight="1" spans="1:10" x14ac:dyDescent="0.25">
      <c r="A8" s="31" t="s">
        <v>27</v>
      </c>
      <c r="B8" s="32" t="s">
        <v>28</v>
      </c>
      <c r="C8" s="12" t="s">
        <v>9</v>
      </c>
      <c r="D8" s="33" t="s">
        <v>29</v>
      </c>
      <c r="E8" s="33" t="s">
        <v>30</v>
      </c>
      <c r="F8" s="13" t="s">
        <v>31</v>
      </c>
      <c r="G8" s="14" t="s">
        <v>11</v>
      </c>
      <c r="H8" s="13" t="s">
        <v>8</v>
      </c>
      <c r="I8" s="12" t="s">
        <v>32</v>
      </c>
      <c r="J8" s="12" t="s">
        <v>33</v>
      </c>
    </row>
    <row r="9" ht="34" customHeight="1" spans="1:10" x14ac:dyDescent="0.25">
      <c r="A9" s="34">
        <v>1</v>
      </c>
      <c r="B9" s="35">
        <v>46315</v>
      </c>
      <c r="C9" s="15" t="s">
        <v>18</v>
      </c>
      <c r="D9" s="36">
        <v>0.3333333333333333</v>
      </c>
      <c r="E9" s="36">
        <v>0.75</v>
      </c>
      <c r="F9" s="16">
        <v>9</v>
      </c>
      <c r="G9" s="17">
        <v>0</v>
      </c>
      <c r="H9" s="16">
        <v>0</v>
      </c>
      <c r="I9" s="15" t="s">
        <v>34</v>
      </c>
      <c r="J9" s="37" t="s">
        <v>35</v>
      </c>
    </row>
    <row r="10" ht="34" customHeight="1" spans="1:10" x14ac:dyDescent="0.25">
      <c r="A10" s="38">
        <v>2</v>
      </c>
      <c r="B10" s="39">
        <v>46315</v>
      </c>
      <c r="C10" s="18" t="s">
        <v>19</v>
      </c>
      <c r="D10" s="40">
        <v>0.3333333333333333</v>
      </c>
      <c r="E10" s="40">
        <v>0.75</v>
      </c>
      <c r="F10" s="19">
        <v>9</v>
      </c>
      <c r="G10" s="20">
        <v>0</v>
      </c>
      <c r="H10" s="19">
        <v>0</v>
      </c>
      <c r="I10" s="18" t="s">
        <v>34</v>
      </c>
      <c r="J10" s="41" t="s">
        <v>35</v>
      </c>
    </row>
    <row r="11" ht="34" customHeight="1" spans="1:10" x14ac:dyDescent="0.25">
      <c r="A11" s="34">
        <v>3</v>
      </c>
      <c r="B11" s="35">
        <v>46315</v>
      </c>
      <c r="C11" s="15" t="s">
        <v>20</v>
      </c>
      <c r="D11" s="36">
        <v>0.3333333333333333</v>
      </c>
      <c r="E11" s="36">
        <v>0.75</v>
      </c>
      <c r="F11" s="16">
        <v>9</v>
      </c>
      <c r="G11" s="17">
        <v>0</v>
      </c>
      <c r="H11" s="16">
        <v>0</v>
      </c>
      <c r="I11" s="15" t="s">
        <v>34</v>
      </c>
      <c r="J11" s="37" t="s">
        <v>35</v>
      </c>
    </row>
    <row r="12" ht="34" customHeight="1" spans="1:10" x14ac:dyDescent="0.25">
      <c r="A12" s="38">
        <v>4</v>
      </c>
      <c r="B12" s="39">
        <v>46315</v>
      </c>
      <c r="C12" s="18" t="s">
        <v>21</v>
      </c>
      <c r="D12" s="40">
        <v>0.3333333333333333</v>
      </c>
      <c r="E12" s="40">
        <v>0.75</v>
      </c>
      <c r="F12" s="19">
        <v>9</v>
      </c>
      <c r="G12" s="20">
        <v>0</v>
      </c>
      <c r="H12" s="19">
        <v>0</v>
      </c>
      <c r="I12" s="18" t="s">
        <v>34</v>
      </c>
      <c r="J12" s="41" t="s">
        <v>35</v>
      </c>
    </row>
    <row r="13" ht="34" customHeight="1" spans="1:10" x14ac:dyDescent="0.25">
      <c r="A13" s="34">
        <v>5</v>
      </c>
      <c r="B13" s="35">
        <v>46315</v>
      </c>
      <c r="C13" s="15" t="s">
        <v>22</v>
      </c>
      <c r="D13" s="36">
        <v>0.3333333333333333</v>
      </c>
      <c r="E13" s="36">
        <v>0.75</v>
      </c>
      <c r="F13" s="16">
        <v>9</v>
      </c>
      <c r="G13" s="17">
        <v>0</v>
      </c>
      <c r="H13" s="16">
        <v>0</v>
      </c>
      <c r="I13" s="15" t="s">
        <v>34</v>
      </c>
      <c r="J13" s="37" t="s">
        <v>35</v>
      </c>
    </row>
    <row r="14" ht="60" customHeight="1" spans="1:10" x14ac:dyDescent="0.25">
      <c r="A14" s="38">
        <v>6</v>
      </c>
      <c r="B14" s="39">
        <v>46315</v>
      </c>
      <c r="C14" s="18" t="s">
        <v>23</v>
      </c>
      <c r="D14" s="40">
        <v>0.3333333333333333</v>
      </c>
      <c r="E14" s="40">
        <v>0.75</v>
      </c>
      <c r="F14" s="19">
        <v>9</v>
      </c>
      <c r="G14" s="20">
        <v>0</v>
      </c>
      <c r="H14" s="19">
        <v>0</v>
      </c>
      <c r="I14" s="18" t="s">
        <v>34</v>
      </c>
      <c r="J14" s="41" t="s">
        <v>36</v>
      </c>
    </row>
    <row r="15" ht="34" customHeight="1" spans="1:10" x14ac:dyDescent="0.25">
      <c r="A15" s="34">
        <v>7</v>
      </c>
      <c r="B15" s="35">
        <v>46316</v>
      </c>
      <c r="C15" s="15" t="s">
        <v>18</v>
      </c>
      <c r="D15" s="36">
        <v>0.3333333333333333</v>
      </c>
      <c r="E15" s="36">
        <v>0.75</v>
      </c>
      <c r="F15" s="16">
        <v>9</v>
      </c>
      <c r="G15" s="17">
        <v>0</v>
      </c>
      <c r="H15" s="16">
        <v>0</v>
      </c>
      <c r="I15" s="15" t="s">
        <v>34</v>
      </c>
      <c r="J15" s="37" t="s">
        <v>35</v>
      </c>
    </row>
    <row r="16" ht="34" customHeight="1" spans="1:10" x14ac:dyDescent="0.25">
      <c r="A16" s="38">
        <v>8</v>
      </c>
      <c r="B16" s="39">
        <v>46316</v>
      </c>
      <c r="C16" s="18" t="s">
        <v>19</v>
      </c>
      <c r="D16" s="40">
        <v>0.3333333333333333</v>
      </c>
      <c r="E16" s="40">
        <v>0.75</v>
      </c>
      <c r="F16" s="19">
        <v>9</v>
      </c>
      <c r="G16" s="20">
        <v>0</v>
      </c>
      <c r="H16" s="19">
        <v>0</v>
      </c>
      <c r="I16" s="18" t="s">
        <v>34</v>
      </c>
      <c r="J16" s="41" t="s">
        <v>35</v>
      </c>
    </row>
    <row r="17" ht="34" customHeight="1" spans="1:10" x14ac:dyDescent="0.25">
      <c r="A17" s="34">
        <v>9</v>
      </c>
      <c r="B17" s="35">
        <v>46316</v>
      </c>
      <c r="C17" s="15" t="s">
        <v>20</v>
      </c>
      <c r="D17" s="36">
        <v>0.3333333333333333</v>
      </c>
      <c r="E17" s="36">
        <v>0.75</v>
      </c>
      <c r="F17" s="16">
        <v>9</v>
      </c>
      <c r="G17" s="17">
        <v>0</v>
      </c>
      <c r="H17" s="16">
        <v>0</v>
      </c>
      <c r="I17" s="15" t="s">
        <v>34</v>
      </c>
      <c r="J17" s="37" t="s">
        <v>35</v>
      </c>
    </row>
    <row r="18" ht="34" customHeight="1" spans="1:10" x14ac:dyDescent="0.25">
      <c r="A18" s="38">
        <v>10</v>
      </c>
      <c r="B18" s="39">
        <v>46316</v>
      </c>
      <c r="C18" s="18" t="s">
        <v>21</v>
      </c>
      <c r="D18" s="40">
        <v>0.3333333333333333</v>
      </c>
      <c r="E18" s="40">
        <v>0.75</v>
      </c>
      <c r="F18" s="19">
        <v>9</v>
      </c>
      <c r="G18" s="20">
        <v>0</v>
      </c>
      <c r="H18" s="19">
        <v>0</v>
      </c>
      <c r="I18" s="18" t="s">
        <v>34</v>
      </c>
      <c r="J18" s="41" t="s">
        <v>35</v>
      </c>
    </row>
    <row r="19" ht="34" customHeight="1" spans="1:10" x14ac:dyDescent="0.25">
      <c r="A19" s="34">
        <v>11</v>
      </c>
      <c r="B19" s="35">
        <v>46316</v>
      </c>
      <c r="C19" s="15" t="s">
        <v>22</v>
      </c>
      <c r="D19" s="36"/>
      <c r="E19" s="36"/>
      <c r="F19" s="16">
        <v>0</v>
      </c>
      <c r="G19" s="17">
        <v>0</v>
      </c>
      <c r="H19" s="16"/>
      <c r="I19" s="15" t="s">
        <v>37</v>
      </c>
      <c r="J19" s="37" t="s">
        <v>38</v>
      </c>
    </row>
    <row r="20" ht="30" customHeight="1" spans="1:10" x14ac:dyDescent="0.25">
      <c r="A20" s="38">
        <v>12</v>
      </c>
      <c r="B20" s="39">
        <v>46316</v>
      </c>
      <c r="C20" s="18" t="s">
        <v>22</v>
      </c>
      <c r="D20" s="40"/>
      <c r="E20" s="40"/>
      <c r="F20" s="19">
        <v>4</v>
      </c>
      <c r="G20" s="20">
        <v>0</v>
      </c>
      <c r="H20" s="19"/>
      <c r="I20" s="18" t="s">
        <v>39</v>
      </c>
      <c r="J20" s="41" t="s">
        <v>40</v>
      </c>
    </row>
    <row r="21" ht="34" customHeight="1" spans="1:10" x14ac:dyDescent="0.25">
      <c r="A21" s="34">
        <v>13</v>
      </c>
      <c r="B21" s="35">
        <v>46316</v>
      </c>
      <c r="C21" s="15" t="s">
        <v>23</v>
      </c>
      <c r="D21" s="36">
        <v>0.3333333333333333</v>
      </c>
      <c r="E21" s="36">
        <v>0.75</v>
      </c>
      <c r="F21" s="16">
        <v>9</v>
      </c>
      <c r="G21" s="17">
        <v>0</v>
      </c>
      <c r="H21" s="16">
        <v>0</v>
      </c>
      <c r="I21" s="15" t="s">
        <v>34</v>
      </c>
      <c r="J21" s="37" t="s">
        <v>35</v>
      </c>
    </row>
    <row r="22" ht="34" customHeight="1" spans="1:10" x14ac:dyDescent="0.25">
      <c r="A22" s="38">
        <v>14</v>
      </c>
      <c r="B22" s="39">
        <v>46317</v>
      </c>
      <c r="C22" s="18" t="s">
        <v>18</v>
      </c>
      <c r="D22" s="40">
        <v>0.3333333333333333</v>
      </c>
      <c r="E22" s="40">
        <v>0.75</v>
      </c>
      <c r="F22" s="19">
        <v>9</v>
      </c>
      <c r="G22" s="20">
        <v>0</v>
      </c>
      <c r="H22" s="19">
        <v>0</v>
      </c>
      <c r="I22" s="18" t="s">
        <v>34</v>
      </c>
      <c r="J22" s="41" t="s">
        <v>35</v>
      </c>
    </row>
    <row r="23" ht="34" customHeight="1" spans="1:10" x14ac:dyDescent="0.25">
      <c r="A23" s="34">
        <v>15</v>
      </c>
      <c r="B23" s="35">
        <v>46317</v>
      </c>
      <c r="C23" s="15" t="s">
        <v>19</v>
      </c>
      <c r="D23" s="36">
        <v>0.3451388888888889</v>
      </c>
      <c r="E23" s="36">
        <v>0.75</v>
      </c>
      <c r="F23" s="16">
        <v>8.716666666666667</v>
      </c>
      <c r="G23" s="17">
        <v>17</v>
      </c>
      <c r="H23" s="16">
        <v>0</v>
      </c>
      <c r="I23" s="15" t="s">
        <v>34</v>
      </c>
      <c r="J23" s="37" t="s">
        <v>35</v>
      </c>
    </row>
    <row r="24" ht="34" customHeight="1" spans="1:10" x14ac:dyDescent="0.25">
      <c r="A24" s="38">
        <v>16</v>
      </c>
      <c r="B24" s="39">
        <v>46317</v>
      </c>
      <c r="C24" s="18" t="s">
        <v>20</v>
      </c>
      <c r="D24" s="40">
        <v>0.3333333333333333</v>
      </c>
      <c r="E24" s="40">
        <v>0.75</v>
      </c>
      <c r="F24" s="19">
        <v>9</v>
      </c>
      <c r="G24" s="20">
        <v>0</v>
      </c>
      <c r="H24" s="19">
        <v>0</v>
      </c>
      <c r="I24" s="18" t="s">
        <v>34</v>
      </c>
      <c r="J24" s="41" t="s">
        <v>35</v>
      </c>
    </row>
    <row r="25" ht="34" customHeight="1" spans="1:10" x14ac:dyDescent="0.25">
      <c r="A25" s="34">
        <v>17</v>
      </c>
      <c r="B25" s="35">
        <v>46317</v>
      </c>
      <c r="C25" s="15" t="s">
        <v>21</v>
      </c>
      <c r="D25" s="36">
        <v>0.3333333333333333</v>
      </c>
      <c r="E25" s="36">
        <v>0.75</v>
      </c>
      <c r="F25" s="16">
        <v>9</v>
      </c>
      <c r="G25" s="17">
        <v>0</v>
      </c>
      <c r="H25" s="16">
        <v>0</v>
      </c>
      <c r="I25" s="15" t="s">
        <v>34</v>
      </c>
      <c r="J25" s="37" t="s">
        <v>35</v>
      </c>
    </row>
    <row r="26" ht="34" customHeight="1" spans="1:10" x14ac:dyDescent="0.25">
      <c r="A26" s="38">
        <v>18</v>
      </c>
      <c r="B26" s="39">
        <v>46317</v>
      </c>
      <c r="C26" s="18" t="s">
        <v>22</v>
      </c>
      <c r="D26" s="40">
        <v>0.3333333333333333</v>
      </c>
      <c r="E26" s="40">
        <v>0.75</v>
      </c>
      <c r="F26" s="19">
        <v>9</v>
      </c>
      <c r="G26" s="20">
        <v>0</v>
      </c>
      <c r="H26" s="19">
        <v>0</v>
      </c>
      <c r="I26" s="18" t="s">
        <v>34</v>
      </c>
      <c r="J26" s="41" t="s">
        <v>35</v>
      </c>
    </row>
    <row r="27" ht="34" customHeight="1" spans="1:10" x14ac:dyDescent="0.25">
      <c r="A27" s="34">
        <v>19</v>
      </c>
      <c r="B27" s="35">
        <v>46317</v>
      </c>
      <c r="C27" s="15" t="s">
        <v>23</v>
      </c>
      <c r="D27" s="36">
        <v>0.3333333333333333</v>
      </c>
      <c r="E27" s="36">
        <v>0.75</v>
      </c>
      <c r="F27" s="16">
        <v>9</v>
      </c>
      <c r="G27" s="17">
        <v>0</v>
      </c>
      <c r="H27" s="16">
        <v>0</v>
      </c>
      <c r="I27" s="15" t="s">
        <v>34</v>
      </c>
      <c r="J27" s="37" t="s">
        <v>35</v>
      </c>
    </row>
    <row r="28" ht="34" customHeight="1" spans="1:10" x14ac:dyDescent="0.25">
      <c r="A28" s="38">
        <v>20</v>
      </c>
      <c r="B28" s="39">
        <v>46318</v>
      </c>
      <c r="C28" s="18" t="s">
        <v>18</v>
      </c>
      <c r="D28" s="40">
        <v>0.3333333333333333</v>
      </c>
      <c r="E28" s="40">
        <v>0.75</v>
      </c>
      <c r="F28" s="19">
        <v>10</v>
      </c>
      <c r="G28" s="20">
        <v>0</v>
      </c>
      <c r="H28" s="19">
        <v>1</v>
      </c>
      <c r="I28" s="18" t="s">
        <v>34</v>
      </c>
      <c r="J28" s="41" t="s">
        <v>41</v>
      </c>
    </row>
    <row r="29" ht="34" customHeight="1" spans="1:10" x14ac:dyDescent="0.25">
      <c r="A29" s="34">
        <v>21</v>
      </c>
      <c r="B29" s="35">
        <v>46318</v>
      </c>
      <c r="C29" s="15" t="s">
        <v>19</v>
      </c>
      <c r="D29" s="36">
        <v>0.3333333333333333</v>
      </c>
      <c r="E29" s="36">
        <v>0.75</v>
      </c>
      <c r="F29" s="16">
        <v>9</v>
      </c>
      <c r="G29" s="17">
        <v>0</v>
      </c>
      <c r="H29" s="16">
        <v>0</v>
      </c>
      <c r="I29" s="15" t="s">
        <v>34</v>
      </c>
      <c r="J29" s="37" t="s">
        <v>35</v>
      </c>
    </row>
    <row r="30" ht="34" customHeight="1" spans="1:10" x14ac:dyDescent="0.25">
      <c r="A30" s="38">
        <v>22</v>
      </c>
      <c r="B30" s="39">
        <v>46318</v>
      </c>
      <c r="C30" s="18" t="s">
        <v>20</v>
      </c>
      <c r="D30" s="40">
        <v>0.3333333333333333</v>
      </c>
      <c r="E30" s="40">
        <v>0.75</v>
      </c>
      <c r="F30" s="19">
        <v>9</v>
      </c>
      <c r="G30" s="20">
        <v>0</v>
      </c>
      <c r="H30" s="19">
        <v>0</v>
      </c>
      <c r="I30" s="18" t="s">
        <v>34</v>
      </c>
      <c r="J30" s="41" t="s">
        <v>35</v>
      </c>
    </row>
    <row r="31" ht="34" customHeight="1" spans="1:10" x14ac:dyDescent="0.25">
      <c r="A31" s="34">
        <v>23</v>
      </c>
      <c r="B31" s="35">
        <v>46318</v>
      </c>
      <c r="C31" s="15" t="s">
        <v>21</v>
      </c>
      <c r="D31" s="36">
        <v>0.3333333333333333</v>
      </c>
      <c r="E31" s="36">
        <v>0.75</v>
      </c>
      <c r="F31" s="16">
        <v>9</v>
      </c>
      <c r="G31" s="17">
        <v>0</v>
      </c>
      <c r="H31" s="16">
        <v>0</v>
      </c>
      <c r="I31" s="15" t="s">
        <v>34</v>
      </c>
      <c r="J31" s="37" t="s">
        <v>35</v>
      </c>
    </row>
    <row r="32" ht="34" customHeight="1" spans="1:10" x14ac:dyDescent="0.25">
      <c r="A32" s="38">
        <v>24</v>
      </c>
      <c r="B32" s="39">
        <v>46318</v>
      </c>
      <c r="C32" s="18" t="s">
        <v>22</v>
      </c>
      <c r="D32" s="40">
        <v>0.3333333333333333</v>
      </c>
      <c r="E32" s="40">
        <v>0.75</v>
      </c>
      <c r="F32" s="19">
        <v>9</v>
      </c>
      <c r="G32" s="20">
        <v>0</v>
      </c>
      <c r="H32" s="19">
        <v>0</v>
      </c>
      <c r="I32" s="18" t="s">
        <v>34</v>
      </c>
      <c r="J32" s="41" t="s">
        <v>35</v>
      </c>
    </row>
    <row r="33" ht="34" customHeight="1" spans="1:10" x14ac:dyDescent="0.25">
      <c r="A33" s="34">
        <v>25</v>
      </c>
      <c r="B33" s="35">
        <v>46318</v>
      </c>
      <c r="C33" s="15" t="s">
        <v>23</v>
      </c>
      <c r="D33" s="36">
        <v>0.3333333333333333</v>
      </c>
      <c r="E33" s="36">
        <v>0.75</v>
      </c>
      <c r="F33" s="16">
        <v>9</v>
      </c>
      <c r="G33" s="17">
        <v>0</v>
      </c>
      <c r="H33" s="16">
        <v>0</v>
      </c>
      <c r="I33" s="15" t="s">
        <v>34</v>
      </c>
      <c r="J33" s="37" t="s">
        <v>35</v>
      </c>
    </row>
    <row r="34" ht="34" customHeight="1" spans="1:10" x14ac:dyDescent="0.25">
      <c r="A34" s="38">
        <v>26</v>
      </c>
      <c r="B34" s="39">
        <v>46321</v>
      </c>
      <c r="C34" s="18" t="s">
        <v>18</v>
      </c>
      <c r="D34" s="40">
        <v>0.3333333333333333</v>
      </c>
      <c r="E34" s="40">
        <v>0.75</v>
      </c>
      <c r="F34" s="19">
        <v>9</v>
      </c>
      <c r="G34" s="20">
        <v>0</v>
      </c>
      <c r="H34" s="19">
        <v>0</v>
      </c>
      <c r="I34" s="18" t="s">
        <v>34</v>
      </c>
      <c r="J34" s="41" t="s">
        <v>35</v>
      </c>
    </row>
    <row r="35" ht="34" customHeight="1" spans="1:10" x14ac:dyDescent="0.25">
      <c r="A35" s="34">
        <v>27</v>
      </c>
      <c r="B35" s="35">
        <v>46321</v>
      </c>
      <c r="C35" s="15" t="s">
        <v>19</v>
      </c>
      <c r="D35" s="36">
        <v>0.3333333333333333</v>
      </c>
      <c r="E35" s="36">
        <v>0.75</v>
      </c>
      <c r="F35" s="16">
        <v>9</v>
      </c>
      <c r="G35" s="17">
        <v>0</v>
      </c>
      <c r="H35" s="16">
        <v>0</v>
      </c>
      <c r="I35" s="15" t="s">
        <v>34</v>
      </c>
      <c r="J35" s="37" t="s">
        <v>35</v>
      </c>
    </row>
    <row r="36" ht="34" customHeight="1" spans="1:10" x14ac:dyDescent="0.25">
      <c r="A36" s="38">
        <v>28</v>
      </c>
      <c r="B36" s="39">
        <v>46321</v>
      </c>
      <c r="C36" s="18" t="s">
        <v>20</v>
      </c>
      <c r="D36" s="40">
        <v>0.3333333333333333</v>
      </c>
      <c r="E36" s="40">
        <v>0.75</v>
      </c>
      <c r="F36" s="19">
        <v>9</v>
      </c>
      <c r="G36" s="20">
        <v>0</v>
      </c>
      <c r="H36" s="19">
        <v>0</v>
      </c>
      <c r="I36" s="18" t="s">
        <v>34</v>
      </c>
      <c r="J36" s="41" t="s">
        <v>35</v>
      </c>
    </row>
    <row r="37" ht="34" customHeight="1" spans="1:10" x14ac:dyDescent="0.25">
      <c r="A37" s="34">
        <v>29</v>
      </c>
      <c r="B37" s="35">
        <v>46321</v>
      </c>
      <c r="C37" s="15" t="s">
        <v>21</v>
      </c>
      <c r="D37" s="36">
        <v>0.3333333333333333</v>
      </c>
      <c r="E37" s="36">
        <v>0.75</v>
      </c>
      <c r="F37" s="16">
        <v>9</v>
      </c>
      <c r="G37" s="17">
        <v>0</v>
      </c>
      <c r="H37" s="16">
        <v>0</v>
      </c>
      <c r="I37" s="15" t="s">
        <v>34</v>
      </c>
      <c r="J37" s="37" t="s">
        <v>35</v>
      </c>
    </row>
    <row r="38" ht="34" customHeight="1" spans="1:10" x14ac:dyDescent="0.25">
      <c r="A38" s="38">
        <v>30</v>
      </c>
      <c r="B38" s="39">
        <v>46321</v>
      </c>
      <c r="C38" s="18" t="s">
        <v>22</v>
      </c>
      <c r="D38" s="40">
        <v>0.3333333333333333</v>
      </c>
      <c r="E38" s="40">
        <v>0.75</v>
      </c>
      <c r="F38" s="19">
        <v>9</v>
      </c>
      <c r="G38" s="20">
        <v>0</v>
      </c>
      <c r="H38" s="19">
        <v>0</v>
      </c>
      <c r="I38" s="18" t="s">
        <v>34</v>
      </c>
      <c r="J38" s="41" t="s">
        <v>35</v>
      </c>
    </row>
    <row r="39" ht="34" customHeight="1" spans="1:10" x14ac:dyDescent="0.25">
      <c r="A39" s="34">
        <v>31</v>
      </c>
      <c r="B39" s="35">
        <v>46321</v>
      </c>
      <c r="C39" s="15" t="s">
        <v>23</v>
      </c>
      <c r="D39" s="36">
        <v>0.3333333333333333</v>
      </c>
      <c r="E39" s="36">
        <v>0.75</v>
      </c>
      <c r="F39" s="16">
        <v>9</v>
      </c>
      <c r="G39" s="17">
        <v>0</v>
      </c>
      <c r="H39" s="16">
        <v>0</v>
      </c>
      <c r="I39" s="15" t="s">
        <v>34</v>
      </c>
      <c r="J39" s="37" t="s">
        <v>35</v>
      </c>
    </row>
    <row r="40" ht="34" customHeight="1" spans="1:10" x14ac:dyDescent="0.25">
      <c r="A40" s="38">
        <v>32</v>
      </c>
      <c r="B40" s="39">
        <v>46322</v>
      </c>
      <c r="C40" s="18" t="s">
        <v>18</v>
      </c>
      <c r="D40" s="40">
        <v>0.3333333333333333</v>
      </c>
      <c r="E40" s="40">
        <v>0.75</v>
      </c>
      <c r="F40" s="19">
        <v>9</v>
      </c>
      <c r="G40" s="20">
        <v>0</v>
      </c>
      <c r="H40" s="19">
        <v>0</v>
      </c>
      <c r="I40" s="18" t="s">
        <v>34</v>
      </c>
      <c r="J40" s="41" t="s">
        <v>35</v>
      </c>
    </row>
    <row r="41" ht="34" customHeight="1" spans="1:10" x14ac:dyDescent="0.25">
      <c r="A41" s="34">
        <v>33</v>
      </c>
      <c r="B41" s="35">
        <v>46322</v>
      </c>
      <c r="C41" s="15" t="s">
        <v>19</v>
      </c>
      <c r="D41" s="36">
        <v>0.3333333333333333</v>
      </c>
      <c r="E41" s="36">
        <v>0.75</v>
      </c>
      <c r="F41" s="16">
        <v>9</v>
      </c>
      <c r="G41" s="17">
        <v>0</v>
      </c>
      <c r="H41" s="16">
        <v>0</v>
      </c>
      <c r="I41" s="15" t="s">
        <v>34</v>
      </c>
      <c r="J41" s="37" t="s">
        <v>35</v>
      </c>
    </row>
    <row r="42" ht="34" customHeight="1" spans="1:10" x14ac:dyDescent="0.25">
      <c r="A42" s="38">
        <v>34</v>
      </c>
      <c r="B42" s="39">
        <v>46322</v>
      </c>
      <c r="C42" s="18" t="s">
        <v>20</v>
      </c>
      <c r="D42" s="40">
        <v>0.3333333333333333</v>
      </c>
      <c r="E42" s="40">
        <v>0.75</v>
      </c>
      <c r="F42" s="19">
        <v>9</v>
      </c>
      <c r="G42" s="20">
        <v>0</v>
      </c>
      <c r="H42" s="19">
        <v>0</v>
      </c>
      <c r="I42" s="18" t="s">
        <v>34</v>
      </c>
      <c r="J42" s="41" t="s">
        <v>35</v>
      </c>
    </row>
    <row r="43" ht="34" customHeight="1" spans="1:10" x14ac:dyDescent="0.25">
      <c r="A43" s="34">
        <v>35</v>
      </c>
      <c r="B43" s="35">
        <v>46322</v>
      </c>
      <c r="C43" s="15" t="s">
        <v>21</v>
      </c>
      <c r="D43" s="36">
        <v>0.3333333333333333</v>
      </c>
      <c r="E43" s="36">
        <v>0.75</v>
      </c>
      <c r="F43" s="16">
        <v>9</v>
      </c>
      <c r="G43" s="17">
        <v>0</v>
      </c>
      <c r="H43" s="16">
        <v>0</v>
      </c>
      <c r="I43" s="15" t="s">
        <v>34</v>
      </c>
      <c r="J43" s="37" t="s">
        <v>35</v>
      </c>
    </row>
    <row r="44" ht="34" customHeight="1" spans="1:10" x14ac:dyDescent="0.25">
      <c r="A44" s="38">
        <v>36</v>
      </c>
      <c r="B44" s="39">
        <v>46322</v>
      </c>
      <c r="C44" s="18" t="s">
        <v>22</v>
      </c>
      <c r="D44" s="40"/>
      <c r="E44" s="40"/>
      <c r="F44" s="19">
        <v>0</v>
      </c>
      <c r="G44" s="20">
        <v>0</v>
      </c>
      <c r="H44" s="19"/>
      <c r="I44" s="18" t="s">
        <v>42</v>
      </c>
      <c r="J44" s="41" t="s">
        <v>43</v>
      </c>
    </row>
    <row r="45" ht="34" customHeight="1" spans="1:10" x14ac:dyDescent="0.25">
      <c r="A45" s="34">
        <v>37</v>
      </c>
      <c r="B45" s="35">
        <v>46322</v>
      </c>
      <c r="C45" s="15" t="s">
        <v>22</v>
      </c>
      <c r="D45" s="36">
        <v>0.3333333333333333</v>
      </c>
      <c r="E45" s="36">
        <v>0.75</v>
      </c>
      <c r="F45" s="16">
        <v>9</v>
      </c>
      <c r="G45" s="17">
        <v>0</v>
      </c>
      <c r="H45" s="16">
        <v>0</v>
      </c>
      <c r="I45" s="15" t="s">
        <v>34</v>
      </c>
      <c r="J45" s="37" t="s">
        <v>35</v>
      </c>
    </row>
    <row r="46" ht="34" customHeight="1" spans="1:10" x14ac:dyDescent="0.25">
      <c r="A46" s="38">
        <v>38</v>
      </c>
      <c r="B46" s="39">
        <v>46322</v>
      </c>
      <c r="C46" s="18" t="s">
        <v>23</v>
      </c>
      <c r="D46" s="40">
        <v>0.3333333333333333</v>
      </c>
      <c r="E46" s="40">
        <v>0.75</v>
      </c>
      <c r="F46" s="19">
        <v>9</v>
      </c>
      <c r="G46" s="20">
        <v>0</v>
      </c>
      <c r="H46" s="19">
        <v>0</v>
      </c>
      <c r="I46" s="18" t="s">
        <v>34</v>
      </c>
      <c r="J46" s="41" t="s">
        <v>35</v>
      </c>
    </row>
    <row r="47" ht="34" customHeight="1" spans="1:10" x14ac:dyDescent="0.25">
      <c r="A47" s="34">
        <v>39</v>
      </c>
      <c r="B47" s="35">
        <v>46323</v>
      </c>
      <c r="C47" s="15" t="s">
        <v>18</v>
      </c>
      <c r="D47" s="36">
        <v>0.3333333333333333</v>
      </c>
      <c r="E47" s="36">
        <v>0.75</v>
      </c>
      <c r="F47" s="16">
        <v>9</v>
      </c>
      <c r="G47" s="17">
        <v>0</v>
      </c>
      <c r="H47" s="16">
        <v>0</v>
      </c>
      <c r="I47" s="15" t="s">
        <v>34</v>
      </c>
      <c r="J47" s="37" t="s">
        <v>35</v>
      </c>
    </row>
    <row r="48" ht="34" customHeight="1" spans="1:10" x14ac:dyDescent="0.25">
      <c r="A48" s="38">
        <v>40</v>
      </c>
      <c r="B48" s="39">
        <v>46323</v>
      </c>
      <c r="C48" s="18" t="s">
        <v>19</v>
      </c>
      <c r="D48" s="40">
        <v>0.3333333333333333</v>
      </c>
      <c r="E48" s="40">
        <v>0.75</v>
      </c>
      <c r="F48" s="19">
        <v>9</v>
      </c>
      <c r="G48" s="20">
        <v>0</v>
      </c>
      <c r="H48" s="19">
        <v>0</v>
      </c>
      <c r="I48" s="18" t="s">
        <v>34</v>
      </c>
      <c r="J48" s="41" t="s">
        <v>35</v>
      </c>
    </row>
    <row r="49" ht="34" customHeight="1" spans="1:10" x14ac:dyDescent="0.25">
      <c r="A49" s="34">
        <v>41</v>
      </c>
      <c r="B49" s="35">
        <v>46323</v>
      </c>
      <c r="C49" s="15" t="s">
        <v>20</v>
      </c>
      <c r="D49" s="36">
        <v>0.3333333333333333</v>
      </c>
      <c r="E49" s="36">
        <v>0.75</v>
      </c>
      <c r="F49" s="16">
        <v>9</v>
      </c>
      <c r="G49" s="17">
        <v>0</v>
      </c>
      <c r="H49" s="16">
        <v>0</v>
      </c>
      <c r="I49" s="15" t="s">
        <v>34</v>
      </c>
      <c r="J49" s="37" t="s">
        <v>35</v>
      </c>
    </row>
    <row r="50" ht="34" customHeight="1" spans="1:10" x14ac:dyDescent="0.25">
      <c r="A50" s="38">
        <v>42</v>
      </c>
      <c r="B50" s="39">
        <v>46323</v>
      </c>
      <c r="C50" s="18" t="s">
        <v>20</v>
      </c>
      <c r="D50" s="40">
        <v>0.7569444444444444</v>
      </c>
      <c r="E50" s="40"/>
      <c r="F50" s="19"/>
      <c r="G50" s="20">
        <v>0</v>
      </c>
      <c r="H50" s="19"/>
      <c r="I50" s="42" t="s">
        <v>44</v>
      </c>
      <c r="J50" s="41" t="s">
        <v>45</v>
      </c>
    </row>
    <row r="51" ht="34" customHeight="1" spans="1:10" x14ac:dyDescent="0.25">
      <c r="A51" s="34">
        <v>43</v>
      </c>
      <c r="B51" s="35">
        <v>46323</v>
      </c>
      <c r="C51" s="15" t="s">
        <v>21</v>
      </c>
      <c r="D51" s="36">
        <v>0.3333333333333333</v>
      </c>
      <c r="E51" s="36">
        <v>0.75</v>
      </c>
      <c r="F51" s="16">
        <v>9</v>
      </c>
      <c r="G51" s="17">
        <v>0</v>
      </c>
      <c r="H51" s="16">
        <v>0</v>
      </c>
      <c r="I51" s="15" t="s">
        <v>34</v>
      </c>
      <c r="J51" s="37" t="s">
        <v>35</v>
      </c>
    </row>
    <row r="52" ht="34" customHeight="1" spans="1:10" x14ac:dyDescent="0.25">
      <c r="A52" s="38">
        <v>44</v>
      </c>
      <c r="B52" s="39">
        <v>46323</v>
      </c>
      <c r="C52" s="18" t="s">
        <v>22</v>
      </c>
      <c r="D52" s="40">
        <v>0.3333333333333333</v>
      </c>
      <c r="E52" s="40">
        <v>0.75</v>
      </c>
      <c r="F52" s="19">
        <v>9</v>
      </c>
      <c r="G52" s="20">
        <v>0</v>
      </c>
      <c r="H52" s="19">
        <v>0</v>
      </c>
      <c r="I52" s="18" t="s">
        <v>34</v>
      </c>
      <c r="J52" s="41" t="s">
        <v>35</v>
      </c>
    </row>
    <row r="53" ht="34" customHeight="1" spans="1:10" x14ac:dyDescent="0.25">
      <c r="A53" s="34">
        <v>45</v>
      </c>
      <c r="B53" s="35">
        <v>46323</v>
      </c>
      <c r="C53" s="15" t="s">
        <v>23</v>
      </c>
      <c r="D53" s="36">
        <v>0.3333333333333333</v>
      </c>
      <c r="E53" s="36">
        <v>0.75</v>
      </c>
      <c r="F53" s="16">
        <v>9</v>
      </c>
      <c r="G53" s="17">
        <v>0</v>
      </c>
      <c r="H53" s="16">
        <v>0</v>
      </c>
      <c r="I53" s="15" t="s">
        <v>34</v>
      </c>
      <c r="J53" s="37" t="s">
        <v>35</v>
      </c>
    </row>
    <row r="54" ht="27" customHeight="1" spans="1:8" x14ac:dyDescent="0.25">
      <c r="A54" s="43" t="s">
        <v>24</v>
      </c>
      <c r="B54" s="43"/>
      <c r="C54" s="43"/>
      <c r="D54" s="43"/>
      <c r="E54" s="43"/>
      <c r="F54" s="22">
        <f>SUBTOTAL(109,F9:F53)</f>
        <v>373.7166666666667</v>
      </c>
      <c r="G54" s="23">
        <f>SUBTOTAL(109,G9:G53)</f>
        <v>17</v>
      </c>
      <c r="H54" s="22">
        <f>SUBTOTAL(109,H9:H53)</f>
        <v>1</v>
      </c>
    </row>
  </sheetData>
  <autoFilter ref="A8:J53"/>
  <mergeCells count="6">
    <mergeCell ref="A2:J2"/>
    <mergeCell ref="A3:J3"/>
    <mergeCell ref="A4:J4"/>
    <mergeCell ref="A5:J5"/>
    <mergeCell ref="A6:J6"/>
    <mergeCell ref="A54:E54"/>
  </mergeCells>
  <conditionalFormatting sqref="G9:G53">
    <cfRule type="cellIs" dxfId="3" priority="1" operator="greaterThan">
      <formula>0</formula>
    </cfRule>
  </conditionalFormatting>
  <conditionalFormatting sqref="H9:H53">
    <cfRule type="cellIs" dxfId="4" priority="2" operator="greaterThan">
      <formula>0</formula>
    </cfRule>
  </conditionalFormatting>
  <printOptions horizontalCentered="1"/>
  <pageMargins left="0.25" right="0.25" top="0.45" bottom="0.45" header="0.2" footer="0.2"/>
  <pageSetup paperSize="9" orientation="landscape" fitToWidth="1" fitToHeight="0"/>
  <headerFooter>
    <oddHeader>&amp;L&amp;"Arial,Bold"&amp;9Nuevo Horizonte&amp;C&amp;"Arial,Regular"&amp;9Control de asistencias</oddHeader>
    <oddFooter>&amp;L&amp;"Arial,Regular"&amp;8octubre de 2026&amp;CDetalle&amp;RPágina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Nuevo Horizonte</dc:creator>
  <dc:title>Control de asistencias</dc:title>
  <dc:subject>Vista de ejemplo con datos ficticios</dc:subject>
  <dc:description/>
  <cp:keywords/>
  <cp:category/>
  <cp:lastModifiedBy>Unknown</cp:lastModifiedBy>
  <dcterms:created xsi:type="dcterms:W3CDTF">2026-10-28T23:45:00Z</dcterms:created>
  <dcterms:modified xsi:type="dcterms:W3CDTF">2026-10-28T23:45:00Z</dcterms:modified>
</cp:coreProperties>
</file>